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s\Downloads\"/>
    </mc:Choice>
  </mc:AlternateContent>
  <xr:revisionPtr revIDLastSave="0" documentId="13_ncr:1_{846A73F4-E93D-4AC5-8974-0609038327C8}" xr6:coauthVersionLast="47" xr6:coauthVersionMax="47" xr10:uidLastSave="{00000000-0000-0000-0000-000000000000}"/>
  <bookViews>
    <workbookView xWindow="-120" yWindow="-120" windowWidth="29040" windowHeight="15720" tabRatio="500" firstSheet="3" activeTab="6"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M8" i="4"/>
  <c r="J8" i="4"/>
  <c r="K8" i="4" s="1"/>
  <c r="L8" i="4" s="1"/>
  <c r="M7" i="4"/>
  <c r="J7" i="4"/>
  <c r="K7" i="4" s="1"/>
  <c r="L7" i="4" s="1"/>
  <c r="M6" i="4"/>
  <c r="J6" i="4"/>
  <c r="K6" i="4" s="1"/>
  <c r="L6" i="4" s="1"/>
  <c r="J5" i="4"/>
  <c r="K5" i="4" s="1"/>
  <c r="L5" i="4" s="1"/>
  <c r="O14" i="3"/>
  <c r="M14" i="3"/>
  <c r="N14" i="3" s="1"/>
  <c r="O13" i="3"/>
  <c r="M13" i="3"/>
  <c r="N13" i="3" s="1"/>
  <c r="O12" i="3"/>
  <c r="M12" i="3"/>
  <c r="N12" i="3" s="1"/>
  <c r="O11" i="3"/>
  <c r="N11" i="3"/>
  <c r="M11" i="3"/>
  <c r="O10" i="3"/>
  <c r="M10" i="3"/>
  <c r="O9" i="3"/>
  <c r="M9" i="3"/>
  <c r="O8" i="3"/>
  <c r="M8" i="3"/>
  <c r="O7" i="3"/>
  <c r="M7" i="3"/>
  <c r="O6" i="3"/>
  <c r="M6" i="3"/>
  <c r="O5" i="3"/>
  <c r="M5" i="3"/>
  <c r="B12" i="2"/>
  <c r="B11" i="8" l="1"/>
  <c r="C11" i="8" s="1"/>
  <c r="B12" i="8"/>
  <c r="C12" i="8" s="1"/>
  <c r="B7" i="8"/>
  <c r="C7" i="8" s="1"/>
  <c r="N9" i="3"/>
  <c r="N5" i="3"/>
  <c r="N10" i="3"/>
  <c r="N6" i="3"/>
  <c r="N7" i="3"/>
  <c r="N8" i="3"/>
  <c r="B6" i="8"/>
  <c r="B5" i="8"/>
  <c r="C6" i="8" l="1"/>
  <c r="C5" i="8"/>
</calcChain>
</file>

<file path=xl/sharedStrings.xml><?xml version="1.0" encoding="utf-8"?>
<sst xmlns="http://schemas.openxmlformats.org/spreadsheetml/2006/main" count="298" uniqueCount="284">
  <si>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</si>
  <si>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</si>
  <si>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</si>
  <si>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</si>
  <si>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</si>
  <si>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</si>
  <si>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</si>
  <si>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</si>
  <si>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</si>
  <si>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</si>
  <si>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</si>
  <si>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</si>
  <si>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</si>
  <si>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</si>
  <si>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</si>
  <si>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</si>
  <si>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</si>
  <si>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</si>
  <si>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</si>
  <si>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Đã điền sẵn ở trang 2, dòng 12–20: chi phí mỗi việc, biên lợi nhuận, điều kiện dừng</t>
  </si>
  <si>
    <t>Đọc để hiểu; không cần chép</t>
  </si>
  <si>
    <t>Bối cảnh, sản phẩm, "1 việc" là gì</t>
  </si>
  <si>
    <t>Giả thuyết và chỉ số ở trang 1</t>
  </si>
  <si>
    <t>Viết giả thuyết theo đúng "1 việc" của đề</t>
  </si>
  <si>
    <t>6 việc gợi ý</t>
  </si>
  <si>
    <t>Trang 1, cột B–C; nhóm được thêm việc của mình</t>
  </si>
  <si>
    <t>Giữ, bỏ hay đổi thứ tự đều phải ghi lý do ở cột Q</t>
  </si>
  <si>
    <t>Kết quả đánh giá đã có (bộ đề, cổng phát hành)</t>
  </si>
  <si>
    <t>Cổng đánh giá ở trang 2; việc cần làm trước ở trang 3</t>
  </si>
  <si>
    <t>Đề 2, 3: kết luận chưa phải "Phát hành" → có việc phải làm trước</t>
  </si>
  <si>
    <t>Chuyên gia và số giờ của họ</t>
  </si>
  <si>
    <t>Dòng "Điều kiện cần" ở trang 3; ô "Cần gì" ở trang 5</t>
  </si>
  <si>
    <t>Dẫn đúng số giờ trong hồ sơ</t>
  </si>
  <si>
    <t>Gợi ý về người duyệt và mức tự động</t>
  </si>
  <si>
    <t>Trang 2, cột H và I</t>
  </si>
  <si>
    <t>Đề 3: bác sĩ của bệnh viện không tính vào chi phí</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</si>
  <si>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</si>
  <si>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</si>
  <si>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</si>
  <si>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</si>
  <si>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</si>
  <si>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</si>
  <si>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</si>
  <si>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</si>
  <si>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</si>
  <si>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</si>
  <si>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</si>
  <si>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</si>
  <si>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</si>
  <si>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</si>
  <si>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</si>
  <si>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</si>
  <si>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</si>
  <si>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</si>
  <si>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</si>
  <si>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</si>
  <si>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</si>
  <si>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</si>
  <si>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</si>
  <si>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</si>
  <si>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</si>
  <si>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</si>
  <si>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</si>
  <si>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</si>
  <si>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</si>
  <si>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</si>
  <si>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</si>
  <si>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</si>
  <si>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</si>
  <si>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</si>
  <si>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</si>
  <si>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</si>
  <si>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</si>
  <si>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Người của mình</t>
  </si>
  <si>
    <t>Hỗ trợ có duyệt</t>
  </si>
  <si>
    <t>Tự động một phần</t>
  </si>
  <si>
    <t>Tự động có giám sát</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</si>
  <si>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</si>
  <si>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</si>
  <si>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</si>
  <si>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</si>
  <si>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</si>
  <si>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</si>
  <si>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</si>
  <si>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</si>
  <si>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</si>
  <si>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</si>
  <si>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</si>
  <si>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</si>
  <si>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</si>
  <si>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</si>
  <si>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</si>
  <si>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</si>
  <si>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</si>
  <si>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</si>
  <si>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</si>
  <si>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</si>
  <si>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</si>
  <si>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</si>
  <si>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</si>
  <si>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</si>
  <si>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</si>
  <si>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</si>
  <si>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</si>
  <si>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</si>
  <si>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</si>
  <si>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Giả thuyết</t>
  </si>
  <si>
    <t>Mức tự động (trang 2)</t>
  </si>
  <si>
    <t>Cổng đánh giá</t>
  </si>
  <si>
    <t>Điều kiện cần: dữ liệu / hạ tầng / tuân thủ</t>
  </si>
  <si>
    <t>Căn cứ kinh tế (số liệu của đề và trang 2)</t>
  </si>
  <si>
    <t>Điều kiện dừng / đổi hướng</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</si>
  <si>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</si>
  <si>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</si>
  <si>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</si>
  <si>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</si>
  <si>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</si>
  <si>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</si>
  <si>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</si>
  <si>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Ngày 60</t>
  </si>
  <si>
    <t>Ngày 90</t>
  </si>
  <si>
    <t>Có mô hình mới / giá gọi AI giảm mạnh</t>
  </si>
  <si>
    <t>Nền tảng hoặc đối thủ ra tính năng tương tự</t>
  </si>
  <si>
    <t>Quy định pháp lý thay đổi</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</si>
  <si>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</si>
  <si>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</si>
  <si>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</si>
  <si>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</si>
  <si>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</si>
  <si>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</si>
  <si>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3 việc chính</t>
  </si>
  <si>
    <t>Cần gì (người, tiền, dữ liệu)</t>
  </si>
  <si>
    <t>Rủi ro lớn nhất &amp; cách xử lý</t>
  </si>
  <si>
    <t>Khi nào xem lại</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</si>
  <si>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</si>
  <si>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</si>
  <si>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</si>
  <si>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</si>
  <si>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</si>
  <si>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</si>
  <si>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</si>
  <si>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</si>
  <si>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</si>
  <si>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</si>
  <si>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</si>
  <si>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</si>
  <si>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</si>
  <si>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</si>
  <si>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</si>
  <si>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</si>
  <si>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</si>
  <si>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</si>
  <si>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</si>
  <si>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</si>
  <si>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</si>
  <si>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</si>
  <si>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</si>
  <si>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</si>
  <si>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</si>
  <si>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</si>
  <si>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</si>
  <si>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</si>
  <si>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</si>
  <si>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</si>
  <si>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</si>
  <si>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</si>
  <si>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</si>
  <si>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</si>
  <si>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</si>
  <si>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</si>
  <si>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</si>
  <si>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</si>
  <si>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</si>
  <si>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</si>
  <si>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</si>
  <si>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</si>
  <si>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</si>
  <si>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</si>
  <si>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</si>
  <si>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</si>
  <si>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</si>
  <si>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</si>
  <si>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</si>
  <si>
    <t>Có</t>
  </si>
  <si>
    <t>Đọc ảnh hoá đơn giấy, ảnh chụp</t>
  </si>
  <si>
    <t>Giảm 50% giờ nhập hoá đơn ảnh</t>
  </si>
  <si>
    <t>Nhập tự động hoá đơn điện tử (tệp gốc)</t>
  </si>
  <si>
    <t>Đối chiếu mã số thuế người bán</t>
  </si>
  <si>
    <t>Gợi ý tài khoản hạch toán</t>
  </si>
  <si>
    <t>Trả lời câu hỏi thuế chung cho khách của văn phòng</t>
  </si>
  <si>
    <t>Kế toán chỉ xem khoảng 20% hoá đơn</t>
  </si>
  <si>
    <t>Giảm 70% thời gian nhập hoá đơn điện tử</t>
  </si>
  <si>
    <t>Không nhập nhầm người bán</t>
  </si>
  <si>
    <t>Giảm 30% thời gian hạch toán</t>
  </si>
  <si>
    <t>Bớt cuộc gọi hỏi đáp</t>
  </si>
  <si>
    <t>Ta tin rằng làm đọc ảnh hoá đơn bằng bản 2 (đọc 2 bước) cho kế toán viên của văn phòng kế toán sẽ giảm 50% giờ nhập hoá đơn ảnh</t>
  </si>
  <si>
    <t>Ta tin rằng làm gắn cờ hoá đơn cần người xem cho kế toán viên sẽ giúp chỉ phải xem khoảng 20% hoá đơn mà không lọt lỗi MST/tiền</t>
  </si>
  <si>
    <t>Ta tin rằng làm nhập hoá đơn điện tử từ tệp gốc cho kế toán viên sẽ giảm 70% thời gian nhập</t>
  </si>
  <si>
    <t>Ta tin rằng làm đối chiếu mã số thuế người bán qua dịch vụ tra cứu cho kế toán viên sẽ không còn nhập nhầm người bán</t>
  </si>
  <si>
    <t>Ta tin rằng làm gợi ý tài khoản hạch toán cho kế toán viên sẽ giảm 30% thời gian hạch toán, khi đã có dữ liệu hạch toán của khách</t>
  </si>
  <si>
    <t>Ta tin rằng làm trả lời câu hỏi thuế chung cho khách của văn phòng sẽ bớt cuộc gọi hỏi đáp</t>
  </si>
  <si>
    <t>Giờ nhập hoá đơn ảnh/tháng giảm ≥50% so với trước thử nghiệm; tỷ lệ đạt quy về thực tế ≥95%; 0 lỗi nghiêm trọng (sai MST/tiền) trên 40 ca bộ đề</t>
  </si>
  <si>
    <t>Tỷ lệ hoá đơn bị gắn cờ ≤20% (hơn 50% thì không ai dùng); 0 lỗi MST/tiền lọt khỏi cờ trong mẫu kiểm 1% hoá đơn thật; tỷ lệ cờ thừa được đếm riêng</t>
  </si>
  <si>
    <t>Thời gian nhập mỗi hoá đơn điện tử giảm ≥70%; 0 hoá đơn nhập sai tiền trên mẫu kiểm 1%</t>
  </si>
  <si>
    <t>0 hoá đơn nhập sai người bán trên ~12.000 hoá đơn/tháng; 100% hoá đơn có MST không khớp bị gắn cờ</t>
  </si>
  <si>
    <t>Thời gian hạch toán/hoá đơn giảm ≥30%; gợi ý đúng tài khoản ≥90% trên 200 hoá đơn đã hạch toán</t>
  </si>
  <si>
    <t>Số cuộc gọi hỏi đáp/tháng giảm ≥20%</t>
  </si>
  <si>
    <t>Tự làm</t>
  </si>
  <si>
    <t>Mua</t>
  </si>
  <si>
    <t>Chờ</t>
  </si>
  <si>
    <t>Không làm</t>
  </si>
  <si>
    <t>Đây là phần cốt lõi của SổSạch; bản 2 đã qua cổng phát hành. Xếp hạng 2, đổi so với thứ tự gợi ý: đưa việc 4 lên trước vì sai MST hoặc tiền không được phép xảy ra lần nào.</t>
  </si>
  <si>
    <t>Giữ lại. Cờ vừa đủ là điều kiện để chị Hạnh chịu dùng (cờ thừa quá 50% thì không ai dùng).</t>
  </si>
  <si>
    <t>Dùng tính năng nhập hoá đơn điện tử đã có trong phần mềm kế toán, không tự làm lại. Tự làm chỉ khi phần mềm này làm sai.</t>
  </si>
  <si>
    <t>Tích hợp dịch vụ tra cứu mã số thuế có sẵn; chuyển từ thứ tự 4 lên hạng 1 vì rủi ro cao nhất và công sức thấp.</t>
  </si>
  <si>
    <t>Chưa có dữ liệu hạch toán của khách. Xem lại khi có đủ hoá đơn đã hạch toán (mốc 200 hoá đơn ở cột E).</t>
  </si>
  <si>
    <t>Ngoài phạm vi "1 việc"; điểm thấp nhất, và công cụ miễn phí làm thay được.</t>
  </si>
  <si>
    <t>AI đọc hoá đơn và chỉ gợi ý các trường (người bán, MST, tiền, ngày); không tự nhập gì vào phần mềm.</t>
  </si>
  <si>
    <t>Kế toán viên xem gợi ý, tự đối chiếu và tự nhập 100% hoá đơn.</t>
  </si>
  <si>
    <t>AI đọc, tra MST, điền sẵn vào phần mềm và gắn cờ hoá đơn nghi ngờ.</t>
  </si>
  <si>
    <t>AI tự nhập hoá đơn thường không cờ (hoá đơn điện tử và ảnh rõ). Chỉ chuyển người các hoá đơn Khó, Nguy hiểm hoặc Ngoài phạm vi.</t>
  </si>
  <si>
    <t>AI tự nhập phần lớn hoá đơn; vẫn gắn cờ và cảnh báo ngay khi có lỗi MST hoặc tiền.</t>
  </si>
  <si>
    <t>Kế toán viên duyệt ~20% hoá đơn (hoá đơn gắn cờ + mẫu 10%) trước khi lưu. Chị Hạnh kiểm 1% hoá đơn thật mỗi tuần, đếm riêng cờ thừa.</t>
  </si>
  <si>
    <t>Kế toán viên duyệt ~10% (hoá đơn gắn cờ + mẫu nhỏ). Chị Hạnh kiểm mẫu 1% hoá đơn thật hàng tháng.</t>
  </si>
  <si>
    <t>Kế toán viên chỉ xem ~5% (cờ + mẫu giám sát), có quyền dừng. Anh Tùng và chị Hạnh rà soát mẫu định kỳ.</t>
  </si>
  <si>
    <t>Mức xuất phát, không cần cổng (có thể ghi “Không cần cổng: mức xuất phát”).</t>
  </si>
  <si>
    <t>Trên bộ đề 40 hoá đơn (4 tầng: Thường 65%, Khó 25%, Nguy hiểm 7%, Ngoài phạm vi 3%): tỷ lệ đạt quy về thực tế ≥95%; lỗi nghiêm trọng (sai MST hoặc tiền) = 0; số tầng tụt = 0; kappa người chấm ≥0,6. Bản 2 đã đạt: 97,3% / 0 / 0 / 0,90.</t>
  </si>
  <si>
    <t>Sau ≥2 tháng chạy Mức 1 và kiểm 1% hoá đơn thật (~120 hoá đơn/tháng, ≥240 hoá đơn): 0 lỗi MST/tiền lọt khỏi cờ; tỷ lệ đạt ≥95%; tỷ lệ cờ thừa ≤20%. Chị Hạnh xác nhận.</t>
  </si>
  <si>
    <t>Sau ≥3 tháng chạy Mức 2 và kiểm ≥5% hoá đơn thật (~600 hoá đơn/tháng, ≥1.800 hoá đơn): 0 lỗi MST/tiền; tỷ lệ đạt ≥97%; cờ thừa ≤20%; doanh thu bình quân ≥3,71 triệu/văn phòng trên ≥10 văn phòng. Chị Hạnh và anh Tùng cùng xác nhận.</t>
  </si>
  <si>
    <t>Bản 2 chạy thử, chưa nối phần mềm kế toán.</t>
  </si>
  <si>
    <t>Nối phần mềm kế toán (nhập hoá đơn điện tử từ tệp gốc) và dịch vụ tra cứu MST. Thông báo cho kế toán viên và khách rằng đây là nội dung do AI đọc (Luật AI 134/2025/QH15). Lưu nhật ký mỗi hoá đơn.</t>
  </si>
  <si>
    <t>Có thêm hoá đơn thật đã chấm để mở rộng bộ đề; theo dõi tỷ lệ cờ thừa hàng tuần; nhật ký để truy vết; hạ tầng chịu được ~12.000 hoá đơn/tháng.</t>
  </si>
  <si>
    <t>Cảnh báo tự động khi có lỗi MST/tiền; có nút dừng và quay về Mức 2; rà soát mẫu định kỳ. Hồ sơ tuân thủ Luật AI được rà trước khi lên mức.</t>
  </si>
  <si>
    <t>Hiện tại</t>
  </si>
  <si>
    <t>Tháng 0–3</t>
  </si>
  <si>
    <t>Tháng 3–6</t>
  </si>
  <si>
    <t>Tháng 6–12, chỉ khi qua cổng</t>
  </si>
  <si>
    <t>Đối chiếu MST (việc 4); đọc ảnh hoá đơn giấy (việc 1); gắn cờ hoá đơn cần người xem (việc 2); nhập hoá đơn điện tử bằng tính năng có sẵn (việc 3).</t>
  </si>
  <si>
    <t>Tinh chỉnh ngưỡng gắn cờ; mở rộng sang thêm văn phòng; chuẩn bị dữ liệu cho gợi ý hạch toán (việc 5).</t>
  </si>
  <si>
    <t>Gợi ý tài khoản hạch toán (việc 5), nếu đủ dữ liệu. Khám phá, chưa cam kết.</t>
  </si>
  <si>
    <t>Ta tin rằng đối chiếu MST và gắn cờ cho kế toán viên sẽ không còn nhập nhầm người bán và chỉ phải xem ~20% hoá đơn; biết đúng khi 0 lỗi MST/tiền lọt khỏi cờ.</t>
  </si>
  <si>
    <t>Tỷ lệ đạt quy về thực tế ≥95%; 0 lỗi MST/tiền; giờ nhập hoá đơn ảnh giảm ≥50%; cờ ≤20% hoá đơn.</t>
  </si>
  <si>
    <t>Mức 1 · Hỗ trợ có duyệt: người duyệt ~20%.</t>
  </si>
  <si>
    <t>Bộ đề 40 hoá đơn: đạt ≥95%, 0 lỗi nghiêm trọng, 0 tầng tụt, kappa ≥0,6. Bản 2 đã đạt (97,3% / 0 / 0 / 0,90).</t>
  </si>
  <si>
    <t>Nối phần mềm kế toán và dịch vụ tra cứu MST; ghi nhật ký; chị Hạnh kiểm 1% hoá đơn thật mỗi tuần (3 giờ sáng thứ Bảy); thông báo người dùng là AI (Luật AI 134/2025/QH15).</t>
  </si>
  <si>
    <t>Chi phí 704 đ/việc, biên 68,8% (≥60%). Doanh thu ~2.256 đ/việc (3.970.000 ÷ 1.760); gọi AI 254 đ nhờ bản 2 rẻ hơn 20%.</t>
  </si>
  <si>
    <t>Nếu có 1 lỗi MST hoặc tiền lọt trong kiểm 1% thì nhóm quay về Mức 0 và cảnh báo ngay; nếu cờ trên 50% hoá đơn trong 2 tuần liên tiếp thì chỉnh lại ngưỡng cờ.</t>
  </si>
  <si>
    <t>Ta tin rằng tự nhập hoá đơn thường không cờ sẽ giảm người duyệt xuống ~10% mà vẫn 0 lỗi MST/tiền; biết đúng khi cờ thừa ≤20%.</t>
  </si>
  <si>
    <t>Tỷ lệ đạt ≥95%; 0 lỗi MST/tiền trong mẫu 1% (≥240 hoá đơn); cờ thừa ≤20%.</t>
  </si>
  <si>
    <t>Mức 2 · Tự động một phần: người duyệt ~10%.</t>
  </si>
  <si>
    <t>Sau ≥2 tháng ở Mức 1, kiểm 1% hoá đơn thật (≥240): 0 lỗi MST/tiền; đạt ≥95%; cờ thừa ≤20%.</t>
  </si>
  <si>
    <t>Mở rộng bộ đề bằng hoá đơn thật đã chấm; hạ tầng chịu ~12.000 hoá đơn/tháng; theo dõi cờ thừa mỗi tuần.</t>
  </si>
  <si>
    <t>Chi phí 579 đ/việc, biên 74,3%. Biến nguy hiểm nhất: doanh thu bình quân (65% doanh thu đến từ 30% văn phòng dùng nhiều).</t>
  </si>
  <si>
    <t>Nếu doanh thu bình quân dưới 3,71 triệu/văn phòng trong 2 tháng liên tiếp, trên ≥10 văn phòng, thì dừng mở rộng.</t>
  </si>
  <si>
    <t>Ta tin rằng gợi ý hạch toán sẽ giảm 30% thời gian hạch toán; biết đúng khi gợi ý đúng tài khoản ≥90% trên 200 hoá đơn.</t>
  </si>
  <si>
    <t>Thời gian hạch toán giảm ≥30%; đúng tài khoản ≥90%; tiếp tục 0 lỗi MST/tiền, tỷ lệ đạt ≥97%.</t>
  </si>
  <si>
    <t>Mức 3 · Tự động có giám sát: người duyệt ~5%, chỉ khi qua cổng.</t>
  </si>
  <si>
    <t>Sau ≥3 tháng ở Mức 2, kiểm ≥5% (≥1.800 hoá đơn): 0 lỗi MST/tiền; đạt ≥97%; doanh thu bình quân ≥3,71 triệu/văn phòng trên ≥10 văn phòng.</t>
  </si>
  <si>
    <t>Dữ liệu hạch toán của khách (hiện chưa có); nút dừng về Mức 2; cảnh báo tự động; rà hồ sơ tuân thủ Luật AI.</t>
  </si>
  <si>
    <t>Chi phí ~516,5 đ/việc, biên 77,1%. Kịch bản xấu: hết tiền ở tháng 7, nên Mức 2 phải đạt cổng trước đó.</t>
  </si>
  <si>
    <t>Nếu cổng Mức 3 không đạt hoặc dự báo hết tiền trước tháng 7, nhóm giữ Mức 2, bỏ việc 5 và giảm chi phí.</t>
  </si>
  <si>
    <t>0 lỗi MST/tiền trong mẫu kiểm 1% hàng tuần (~120 hoá đơn/tháng); tỷ lệ cờ ≤20% và cờ thừa đếm riêng; tỷ lệ đạt ≥95%; chi phí mỗi việc ~704 đ.</t>
  </si>
  <si>
    <t>Đi tiếp nếu 0 lỗi và cờ ≤20%. Sửa ngưỡng cờ nếu cờ trên 20% (trên 50% trong 2 tuần thì chỉnh ngay). Dừng tạm, quay về Mức 0 nếu có 1 lỗi MST/tiền.</t>
  </si>
  <si>
    <t>Chị Hạnh và nhóm sản phẩm</t>
  </si>
  <si>
    <t>Sau ≥2 tháng ở Mức 1: 0 lỗi MST/tiền trong ≥240 hoá đơn đã kiểm; tỷ lệ đạt ≥95%; cờ thừa ≤20%; biên ≥60% (hiện 68,8%).</t>
  </si>
  <si>
    <t>Chỉ dùng chỉ số đã đủ dữ liệu: 0 lỗi MST/tiền; tỷ lệ đạt; cờ thừa; chi phí và biên mỗi việc; doanh thu bình quân/văn phòng so với 3,71 triệu (khi đã có 2 tháng liên tiếp trên ≥10 văn phòng).</t>
  </si>
  <si>
    <t>Chạy lại bộ đề 40 hoá đơn: đạt ≥95%, 0 lỗi nghiêm trọng, 0 tầng tụt, kappa ≥0,6; chi phí gọi AI mỗi việc so với 254 đ hiện tại và biên so với 60%.</t>
  </si>
  <si>
    <t>Điểm “Rủi ro bị nuốt” (cột L) của việc 1–4; doanh thu bình quân/văn phòng so với 3,71 triệu; số văn phòng bỏ dùng.</t>
  </si>
  <si>
    <t>Đối chiếu việc đang chạy với văn bản mới: hệ thống thuộc mức rủi ro nào, nghĩa vụ thông báo người dùng đang tương tác với AI (Luật AI 134/2025/QH15); tỷ lệ mục tuân thủ đã đạt.</t>
  </si>
  <si>
    <t>Đi tiếp nếu cổng Mức 2 gần đạt. Sửa nếu số mẫu chưa đủ 240 hoặc cờ thừa trên 20%. Đổi hướng nếu cờ thừa không giảm: giữ Mức 1 và chỉnh quy trình duyệt.</t>
  </si>
  <si>
    <t>Đi tiếp: lên Mức 2 nếu qua cổng (người duyệt giảm từ ~20% xuống ~10%). Sửa: giữ Mức 1, kiểm thêm. Đổi hướng: mua thay vì tự làm việc bị phần mềm có sẵn làm thay. Dừng mở rộng nếu chạm điều kiện dừng của đề.</t>
  </si>
  <si>
    <t>Đi tiếp với mô hình mới nếu qua cổng và chi phí thấp hơn. Giữ bản 2 nếu không qua cổng. Sửa giá hoặc mức duyệt nếu biên tăng.</t>
  </si>
  <si>
    <t>Đổi hướng sang mua hoặc tích hợp việc bị làm thay (như việc 3, 4). Sửa giá hoặc gói dịch vụ. Dừng việc trùng hoàn toàn với công cụ miễn phí.</t>
  </si>
  <si>
    <t>Sửa quy trình, nội dung thông báo hoặc nhật ký. Dừng tạm tăng mức tự động (giữ Mức 1–2) nếu chưa đáp ứng. Đi tiếp nếu đã đủ.</t>
  </si>
  <si>
    <t>Nhóm sản phẩm, chị Hạnh và anh Tùng</t>
  </si>
  <si>
    <t>Ban lãnh đạo, dựa trên báo cáo của nhóm sản phẩm</t>
  </si>
  <si>
    <t>Kỹ sư và nhóm sản phẩm; lãnh đạo duyệt nếu đổi mức tự động</t>
  </si>
  <si>
    <t>Ban lãnh đạo</t>
  </si>
  <si>
    <t>Ban lãnh đạo, có người phụ trách pháp lý hoặc tuân thủ</t>
  </si>
  <si>
    <t>Làm trước đối chiếu mã số thuế và duyệt ~20% hoá đơn (Mức 1): mục tiêu 0 lỗi MST/tiền, biên ≥60%. Quyết định lên Mức 2 vào ngày 90 nếu qua cổng; dừng mở rộng nếu doanh thu bình quân dưới 3,71 triệu/văn phòng.</t>
  </si>
  <si>
    <t>1) Đối chiếu MST người bán (mua dịch vụ tra cứu), điểm cao nhất 9,38. 2) Đọc ảnh hoá đơn giấy bằng bản 2, giảm 50% giờ nhập. 3) Gắn cờ hoá đơn cần xem, chỉ ~20% hoá đơn. Hoá đơn điện tử dùng tính năng có sẵn.</t>
  </si>
  <si>
    <t>Người: chị Hạnh 3 giờ sáng thứ Bảy mỗi tuần, anh Tùng hỗ trợ; kế toán viên duyệt ~20%. Dữ liệu: bộ đề 40 hoá đơn, kiểm 1% hoá đơn thật (~120/tháng). Tiền: chi phí 704 đ/việc, biên 68,8%; chưa có dữ liệu hạch toán.</t>
  </si>
  <si>
    <t>Doanh thu bình quân thấp (65% doanh thu đến từ 30% văn phòng dùng nhiều). Theo dõi hàng tháng; dưới 3,71 triệu/văn phòng 2 tháng liên tiếp, trên ≥10 văn phòng thì dừng mở rộng. Có 1 lỗi MST/tiền thì quay về Mức 0. Kịch bản xấu: hết tiền tháng 7.</t>
  </si>
  <si>
    <t>Ngày 30, 60 và 90 (ngày 90 quyết định lên Mức 2). Xem lại ngay khi có 1 lỗi MST/tiền, mô hình mới hoặc giá gọi AI giảm mạnh, đối thủ ra tính năng tương tự, hoặc quy định pháp lý thay đổi.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</si>
</sst>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9"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
      <sz val="8"/>
      <name val="Calibri"/>
      <family val="2"/>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xf numFmtId="0" fontId="0" fillId="2" borderId="0" xfId="0" applyFont="1" applyFill="1" applyProtection="1">
      <protection locked="0"/>
    </xf>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Normal="100" workbookViewId="0"/>
  </sheetViews>
  <sheetFormatPr defaultColWidth="8.7109375" defaultRowHeight="15" x14ac:dyDescent="0.25"/>
  <cols>
    <col min="1" max="1" width="120" customWidth="1"/>
  </cols>
  <sheetData>
    <row r="1" spans="1:1" ht="17.25" customHeight="1" x14ac:dyDescent="0.25">
      <c r="A1" s="1" t="s">
        <v>0</v>
      </c>
    </row>
    <row r="2" spans="1:1" ht="15" customHeight="1" x14ac:dyDescent="0.25">
      <c r="A2" s="2" t="s">
        <v>1</v>
      </c>
    </row>
    <row r="4" spans="1:1" ht="15" customHeight="1" x14ac:dyDescent="0.25">
      <c r="A4" t="s">
        <v>2</v>
      </c>
    </row>
    <row r="5" spans="1:1" ht="15" customHeight="1" x14ac:dyDescent="0.25">
      <c r="A5" t="s">
        <v>3</v>
      </c>
    </row>
    <row r="6" spans="1:1" ht="15" customHeight="1" x14ac:dyDescent="0.25">
      <c r="A6" t="s">
        <v>4</v>
      </c>
    </row>
    <row r="7" spans="1:1" ht="15" customHeight="1" x14ac:dyDescent="0.25">
      <c r="A7" t="s">
        <v>5</v>
      </c>
    </row>
    <row r="8" spans="1:1" ht="15" customHeight="1" x14ac:dyDescent="0.25">
      <c r="A8" t="s">
        <v>6</v>
      </c>
    </row>
    <row r="9" spans="1:1" ht="15" customHeight="1" x14ac:dyDescent="0.25">
      <c r="A9" t="s">
        <v>7</v>
      </c>
    </row>
    <row r="11" spans="1:1" ht="15" customHeight="1" x14ac:dyDescent="0.25">
      <c r="A11" t="s">
        <v>8</v>
      </c>
    </row>
    <row r="12" spans="1:1" ht="15" customHeight="1" x14ac:dyDescent="0.25">
      <c r="A12" s="3" t="s">
        <v>9</v>
      </c>
    </row>
    <row r="13" spans="1:1" ht="15" customHeight="1" x14ac:dyDescent="0.25">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election activeCell="C14" sqref="C14"/>
    </sheetView>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1" t="s">
        <v>11</v>
      </c>
    </row>
    <row r="2" spans="1:5" ht="15" customHeight="1" x14ac:dyDescent="0.25">
      <c r="A2" s="2" t="s">
        <v>12</v>
      </c>
    </row>
    <row r="4" spans="1:5" ht="26.25" customHeight="1" x14ac:dyDescent="0.25">
      <c r="A4" s="5" t="s">
        <v>13</v>
      </c>
      <c r="B4" s="5" t="s">
        <v>14</v>
      </c>
      <c r="C4" s="5" t="s">
        <v>15</v>
      </c>
      <c r="D4" s="5" t="s">
        <v>16</v>
      </c>
      <c r="E4" s="5" t="s">
        <v>17</v>
      </c>
    </row>
    <row r="5" spans="1:5" ht="33.75" customHeight="1" x14ac:dyDescent="0.25">
      <c r="A5" s="6" t="s">
        <v>18</v>
      </c>
      <c r="B5" s="7" t="s">
        <v>183</v>
      </c>
      <c r="C5" s="6" t="s">
        <v>19</v>
      </c>
      <c r="D5" s="6" t="s">
        <v>20</v>
      </c>
      <c r="E5" s="7"/>
    </row>
    <row r="6" spans="1:5" ht="33.75" customHeight="1" x14ac:dyDescent="0.25">
      <c r="A6" s="6" t="s">
        <v>21</v>
      </c>
      <c r="B6" s="7" t="s">
        <v>183</v>
      </c>
      <c r="C6" s="6" t="s">
        <v>22</v>
      </c>
      <c r="D6" s="6" t="s">
        <v>23</v>
      </c>
      <c r="E6" s="7"/>
    </row>
    <row r="7" spans="1:5" ht="33.75" customHeight="1" x14ac:dyDescent="0.25">
      <c r="A7" s="6" t="s">
        <v>24</v>
      </c>
      <c r="B7" s="7" t="s">
        <v>183</v>
      </c>
      <c r="C7" s="6" t="s">
        <v>25</v>
      </c>
      <c r="D7" s="6" t="s">
        <v>26</v>
      </c>
      <c r="E7" s="7"/>
    </row>
    <row r="8" spans="1:5" ht="33.75" customHeight="1" x14ac:dyDescent="0.25">
      <c r="A8" s="6" t="s">
        <v>27</v>
      </c>
      <c r="B8" s="7" t="s">
        <v>183</v>
      </c>
      <c r="C8" s="6" t="s">
        <v>28</v>
      </c>
      <c r="D8" s="6" t="s">
        <v>29</v>
      </c>
      <c r="E8" s="7"/>
    </row>
    <row r="9" spans="1:5" ht="33.75" customHeight="1" x14ac:dyDescent="0.25">
      <c r="A9" s="6" t="s">
        <v>30</v>
      </c>
      <c r="B9" s="7" t="s">
        <v>183</v>
      </c>
      <c r="C9" s="6" t="s">
        <v>31</v>
      </c>
      <c r="D9" s="6" t="s">
        <v>32</v>
      </c>
      <c r="E9" s="7"/>
    </row>
    <row r="10" spans="1:5" ht="33.75" customHeight="1" x14ac:dyDescent="0.25">
      <c r="A10" s="6" t="s">
        <v>33</v>
      </c>
      <c r="B10" s="7" t="s">
        <v>183</v>
      </c>
      <c r="C10" s="6" t="s">
        <v>34</v>
      </c>
      <c r="D10" s="6" t="s">
        <v>35</v>
      </c>
      <c r="E10" s="7"/>
    </row>
    <row r="12" spans="1:5" ht="15" customHeight="1" x14ac:dyDescent="0.25">
      <c r="A12" s="8" t="s">
        <v>36</v>
      </c>
      <c r="B12" s="4">
        <f>COUNTIF(B5:B10,"Có")</f>
        <v>6</v>
      </c>
    </row>
    <row r="13" spans="1:5" ht="15" customHeight="1" x14ac:dyDescent="0.25">
      <c r="A13" s="2" t="s">
        <v>37</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topLeftCell="C1" zoomScaleNormal="100" workbookViewId="0">
      <selection activeCell="K19" sqref="K19"/>
    </sheetView>
  </sheetViews>
  <sheetFormatPr defaultColWidth="8.7109375" defaultRowHeight="15" x14ac:dyDescent="0.25"/>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25">
      <c r="A1" s="1" t="s">
        <v>38</v>
      </c>
    </row>
    <row r="2" spans="1:17" ht="15" customHeight="1" x14ac:dyDescent="0.25">
      <c r="A2" s="2" t="s">
        <v>39</v>
      </c>
    </row>
    <row r="4" spans="1:17" ht="39" customHeight="1" x14ac:dyDescent="0.25">
      <c r="A4" s="9" t="s">
        <v>40</v>
      </c>
      <c r="B4" s="9" t="s">
        <v>41</v>
      </c>
      <c r="C4" s="9" t="s">
        <v>42</v>
      </c>
      <c r="D4" s="9" t="s">
        <v>43</v>
      </c>
      <c r="E4" s="9" t="s">
        <v>44</v>
      </c>
      <c r="F4" s="9" t="s">
        <v>45</v>
      </c>
      <c r="G4" s="9" t="s">
        <v>46</v>
      </c>
      <c r="H4" s="9" t="s">
        <v>47</v>
      </c>
      <c r="I4" s="9" t="s">
        <v>48</v>
      </c>
      <c r="J4" s="9" t="s">
        <v>49</v>
      </c>
      <c r="K4" s="9" t="s">
        <v>50</v>
      </c>
      <c r="L4" s="9" t="s">
        <v>51</v>
      </c>
      <c r="M4" s="9" t="s">
        <v>52</v>
      </c>
      <c r="N4" s="9" t="s">
        <v>53</v>
      </c>
      <c r="O4" s="9" t="s">
        <v>54</v>
      </c>
      <c r="P4" s="9" t="s">
        <v>55</v>
      </c>
      <c r="Q4" s="9" t="s">
        <v>56</v>
      </c>
    </row>
    <row r="5" spans="1:17" ht="34.5" customHeight="1" x14ac:dyDescent="0.25">
      <c r="A5" s="10">
        <v>1</v>
      </c>
      <c r="B5" s="7" t="s">
        <v>184</v>
      </c>
      <c r="C5" s="7" t="s">
        <v>185</v>
      </c>
      <c r="D5" s="7" t="s">
        <v>195</v>
      </c>
      <c r="E5" s="7" t="s">
        <v>201</v>
      </c>
      <c r="F5" s="7">
        <v>4</v>
      </c>
      <c r="G5" s="7">
        <v>5</v>
      </c>
      <c r="H5" s="7">
        <v>0.8</v>
      </c>
      <c r="I5" s="7">
        <v>3</v>
      </c>
      <c r="J5" s="7">
        <v>1</v>
      </c>
      <c r="K5" s="7">
        <v>1</v>
      </c>
      <c r="L5" s="7">
        <v>0.3</v>
      </c>
      <c r="M5" s="11">
        <f t="shared" ref="M5:M14" si="0">IF(COUNT(F5:L5)&lt;7,"",ROUND(F5*G5*H5/I5*(0.5+0.5*AVERAGE(J5:K5))*(1-0.5*L5),2))</f>
        <v>4.53</v>
      </c>
      <c r="N5" s="11">
        <f t="shared" ref="N5:N14" si="1">IF(M5="","",RANK(M5,$M$5:$M$14))</f>
        <v>2</v>
      </c>
      <c r="O5" s="12" t="str">
        <f>IF(B5="","",IF(OR(D5="",E5=""),"Thiếu",IF(SUMPRODUCT(--ISNUMBER(SEARCH({"0","1","2","3","4","5","6","7","8","9"},E5)))&gt;0,"Có","Thiếu")))</f>
        <v>Có</v>
      </c>
      <c r="P5" s="31" t="s">
        <v>207</v>
      </c>
      <c r="Q5" s="13" t="s">
        <v>211</v>
      </c>
    </row>
    <row r="6" spans="1:17" ht="23.25" customHeight="1" x14ac:dyDescent="0.25">
      <c r="A6" s="10">
        <v>2</v>
      </c>
      <c r="B6" s="7" t="s">
        <v>185</v>
      </c>
      <c r="C6" s="7" t="s">
        <v>190</v>
      </c>
      <c r="D6" s="7" t="s">
        <v>196</v>
      </c>
      <c r="E6" s="7" t="s">
        <v>202</v>
      </c>
      <c r="F6" s="7">
        <v>5</v>
      </c>
      <c r="G6" s="7">
        <v>4</v>
      </c>
      <c r="H6" s="7">
        <v>0.8</v>
      </c>
      <c r="I6" s="7">
        <v>3</v>
      </c>
      <c r="J6" s="7">
        <v>0.8</v>
      </c>
      <c r="K6" s="7">
        <v>0.8</v>
      </c>
      <c r="L6" s="7">
        <v>0.2</v>
      </c>
      <c r="M6" s="11">
        <f t="shared" si="0"/>
        <v>4.32</v>
      </c>
      <c r="N6" s="11">
        <f t="shared" si="1"/>
        <v>3</v>
      </c>
      <c r="O6" s="12" t="str">
        <f>IF(B6="","",IF(OR(D6="",E6=""),"Thiếu",IF(SUMPRODUCT(--ISNUMBER(SEARCH({"0","1","2","3","4","5","6","7","8","9"},E6)))&gt;0,"Có","Thiếu")))</f>
        <v>Có</v>
      </c>
      <c r="P6" s="31" t="s">
        <v>207</v>
      </c>
      <c r="Q6" s="13" t="s">
        <v>212</v>
      </c>
    </row>
    <row r="7" spans="1:17" ht="23.25" customHeight="1" x14ac:dyDescent="0.25">
      <c r="A7" s="10">
        <v>3</v>
      </c>
      <c r="B7" s="7" t="s">
        <v>186</v>
      </c>
      <c r="C7" s="7" t="s">
        <v>191</v>
      </c>
      <c r="D7" s="7" t="s">
        <v>197</v>
      </c>
      <c r="E7" s="7" t="s">
        <v>203</v>
      </c>
      <c r="F7" s="7">
        <v>4</v>
      </c>
      <c r="G7" s="7">
        <v>2</v>
      </c>
      <c r="H7" s="7">
        <v>1</v>
      </c>
      <c r="I7" s="7">
        <v>1</v>
      </c>
      <c r="J7" s="7">
        <v>1</v>
      </c>
      <c r="K7" s="7">
        <v>1</v>
      </c>
      <c r="L7" s="7">
        <v>1</v>
      </c>
      <c r="M7" s="11">
        <f t="shared" si="0"/>
        <v>4</v>
      </c>
      <c r="N7" s="11">
        <f t="shared" si="1"/>
        <v>4</v>
      </c>
      <c r="O7" s="12" t="str">
        <f>IF(B7="","",IF(OR(D7="",E7=""),"Thiếu",IF(SUMPRODUCT(--ISNUMBER(SEARCH({"0","1","2","3","4","5","6","7","8","9"},E7)))&gt;0,"Có","Thiếu")))</f>
        <v>Có</v>
      </c>
      <c r="P7" s="13" t="s">
        <v>208</v>
      </c>
      <c r="Q7" s="13" t="s">
        <v>213</v>
      </c>
    </row>
    <row r="8" spans="1:17" ht="23.25" customHeight="1" x14ac:dyDescent="0.25">
      <c r="A8" s="10">
        <v>4</v>
      </c>
      <c r="B8" s="7" t="s">
        <v>187</v>
      </c>
      <c r="C8" s="7" t="s">
        <v>192</v>
      </c>
      <c r="D8" s="7" t="s">
        <v>198</v>
      </c>
      <c r="E8" s="7" t="s">
        <v>204</v>
      </c>
      <c r="F8" s="7">
        <v>5</v>
      </c>
      <c r="G8" s="7">
        <v>5</v>
      </c>
      <c r="H8" s="7">
        <v>1</v>
      </c>
      <c r="I8" s="7">
        <v>2</v>
      </c>
      <c r="J8" s="7">
        <v>1</v>
      </c>
      <c r="K8" s="7">
        <v>1</v>
      </c>
      <c r="L8" s="7">
        <v>0.5</v>
      </c>
      <c r="M8" s="11">
        <f t="shared" si="0"/>
        <v>9.3800000000000008</v>
      </c>
      <c r="N8" s="11">
        <f t="shared" si="1"/>
        <v>1</v>
      </c>
      <c r="O8" s="12" t="str">
        <f>IF(B8="","",IF(OR(D8="",E8=""),"Thiếu",IF(SUMPRODUCT(--ISNUMBER(SEARCH({"0","1","2","3","4","5","6","7","8","9"},E8)))&gt;0,"Có","Thiếu")))</f>
        <v>Có</v>
      </c>
      <c r="P8" s="13" t="s">
        <v>208</v>
      </c>
      <c r="Q8" s="13" t="s">
        <v>214</v>
      </c>
    </row>
    <row r="9" spans="1:17" ht="23.25" customHeight="1" x14ac:dyDescent="0.25">
      <c r="A9" s="10">
        <v>5</v>
      </c>
      <c r="B9" s="7" t="s">
        <v>188</v>
      </c>
      <c r="C9" s="7" t="s">
        <v>193</v>
      </c>
      <c r="D9" s="7" t="s">
        <v>199</v>
      </c>
      <c r="E9" s="7" t="s">
        <v>205</v>
      </c>
      <c r="F9" s="7">
        <v>4</v>
      </c>
      <c r="G9" s="7">
        <v>3</v>
      </c>
      <c r="H9" s="7">
        <v>0.5</v>
      </c>
      <c r="I9" s="7">
        <v>4</v>
      </c>
      <c r="J9" s="7">
        <v>0.2</v>
      </c>
      <c r="K9" s="7">
        <v>0.2</v>
      </c>
      <c r="L9" s="7">
        <v>0.3</v>
      </c>
      <c r="M9" s="11">
        <f t="shared" si="0"/>
        <v>0.77</v>
      </c>
      <c r="N9" s="11">
        <f t="shared" si="1"/>
        <v>5</v>
      </c>
      <c r="O9" s="12" t="str">
        <f>IF(B9="","",IF(OR(D9="",E9=""),"Thiếu",IF(SUMPRODUCT(--ISNUMBER(SEARCH({"0","1","2","3","4","5","6","7","8","9"},E9)))&gt;0,"Có","Thiếu")))</f>
        <v>Có</v>
      </c>
      <c r="P9" s="13" t="s">
        <v>209</v>
      </c>
      <c r="Q9" s="13" t="s">
        <v>215</v>
      </c>
    </row>
    <row r="10" spans="1:17" ht="23.25" customHeight="1" x14ac:dyDescent="0.25">
      <c r="A10" s="10">
        <v>6</v>
      </c>
      <c r="B10" s="7" t="s">
        <v>189</v>
      </c>
      <c r="C10" s="7" t="s">
        <v>194</v>
      </c>
      <c r="D10" s="7" t="s">
        <v>200</v>
      </c>
      <c r="E10" s="7" t="s">
        <v>206</v>
      </c>
      <c r="F10" s="7">
        <v>2</v>
      </c>
      <c r="G10" s="7">
        <v>1</v>
      </c>
      <c r="H10" s="7">
        <v>0.5</v>
      </c>
      <c r="I10" s="7">
        <v>2</v>
      </c>
      <c r="J10" s="7">
        <v>0.5</v>
      </c>
      <c r="K10" s="7">
        <v>0</v>
      </c>
      <c r="L10" s="7">
        <v>1</v>
      </c>
      <c r="M10" s="11">
        <f t="shared" si="0"/>
        <v>0.16</v>
      </c>
      <c r="N10" s="11">
        <f t="shared" si="1"/>
        <v>6</v>
      </c>
      <c r="O10" s="12" t="str">
        <f>IF(B10="","",IF(OR(D10="",E10=""),"Thiếu",IF(SUMPRODUCT(--ISNUMBER(SEARCH({"0","1","2","3","4","5","6","7","8","9"},E10)))&gt;0,"Có","Thiếu")))</f>
        <v>Có</v>
      </c>
      <c r="P10" s="13" t="s">
        <v>210</v>
      </c>
      <c r="Q10" s="13" t="s">
        <v>216</v>
      </c>
    </row>
    <row r="11" spans="1:17" ht="15" customHeight="1" x14ac:dyDescent="0.25">
      <c r="A11" s="10">
        <v>7</v>
      </c>
      <c r="B11" s="7"/>
      <c r="C11" s="7"/>
      <c r="D11" s="7"/>
      <c r="E11" s="7"/>
      <c r="F11" s="7"/>
      <c r="G11" s="7"/>
      <c r="H11" s="7"/>
      <c r="I11" s="7"/>
      <c r="J11" s="7"/>
      <c r="K11" s="7"/>
      <c r="L11" s="7"/>
      <c r="M11" s="11" t="str">
        <f t="shared" si="0"/>
        <v/>
      </c>
      <c r="N11" s="11" t="str">
        <f t="shared" si="1"/>
        <v/>
      </c>
      <c r="O11" s="12" t="str">
        <f>IF(B11="","",IF(OR(D11="",E11=""),"Thiếu",IF(SUMPRODUCT(--ISNUMBER(SEARCH({"0","1","2","3","4","5","6","7","8","9"},E11)))&gt;0,"Có","Thiếu")))</f>
        <v/>
      </c>
      <c r="P11" s="13"/>
      <c r="Q11" s="13"/>
    </row>
    <row r="12" spans="1:17" ht="15" customHeight="1" x14ac:dyDescent="0.25">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25">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25">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7: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election activeCell="B20" sqref="B20"/>
    </sheetView>
  </sheetViews>
  <sheetFormatPr defaultColWidth="8.7109375" defaultRowHeight="15" x14ac:dyDescent="0.25"/>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25">
      <c r="A1" s="1" t="s">
        <v>57</v>
      </c>
    </row>
    <row r="2" spans="1:13" ht="15" customHeight="1" x14ac:dyDescent="0.25">
      <c r="A2" s="2" t="s">
        <v>58</v>
      </c>
    </row>
    <row r="4" spans="1:13" ht="26.25" customHeight="1" x14ac:dyDescent="0.25">
      <c r="A4" s="9" t="s">
        <v>59</v>
      </c>
      <c r="B4" s="9" t="s">
        <v>60</v>
      </c>
      <c r="C4" s="9" t="s">
        <v>61</v>
      </c>
      <c r="D4" s="9" t="s">
        <v>62</v>
      </c>
      <c r="E4" s="9" t="s">
        <v>63</v>
      </c>
      <c r="F4" s="9" t="s">
        <v>64</v>
      </c>
      <c r="G4" s="9" t="s">
        <v>65</v>
      </c>
      <c r="H4" s="9" t="s">
        <v>66</v>
      </c>
      <c r="I4" s="9" t="s">
        <v>67</v>
      </c>
      <c r="J4" s="9" t="s">
        <v>68</v>
      </c>
      <c r="K4" s="9" t="s">
        <v>69</v>
      </c>
      <c r="L4" s="9" t="s">
        <v>70</v>
      </c>
      <c r="M4" s="9" t="s">
        <v>71</v>
      </c>
    </row>
    <row r="5" spans="1:13" ht="48" customHeight="1" x14ac:dyDescent="0.25">
      <c r="A5" s="10">
        <v>0</v>
      </c>
      <c r="B5" s="7" t="s">
        <v>72</v>
      </c>
      <c r="C5" s="7" t="s">
        <v>217</v>
      </c>
      <c r="D5" s="7" t="s">
        <v>218</v>
      </c>
      <c r="E5" s="7" t="s">
        <v>225</v>
      </c>
      <c r="F5" s="7" t="s">
        <v>229</v>
      </c>
      <c r="G5" s="7" t="s">
        <v>233</v>
      </c>
      <c r="H5" s="14">
        <v>1</v>
      </c>
      <c r="I5" s="13" t="s">
        <v>73</v>
      </c>
      <c r="J5" s="15">
        <f>IF(H5="","",$B$12+$B$13+IF(I5="Người của mình",H5*$B$14*$B$15/60,0))</f>
        <v>1704</v>
      </c>
      <c r="K5" s="16">
        <f>IF(J5="","",IFERROR(($B$16-$B$17*J5)/$B$16,""))</f>
        <v>0.24457430730478588</v>
      </c>
      <c r="L5" s="17" t="str">
        <f>IF(K5="","",IF(K5&gt;=0.6,"Đạt","Dưới ngưỡng"))</f>
        <v>Dưới ngưỡng</v>
      </c>
    </row>
    <row r="6" spans="1:13" ht="48" customHeight="1" x14ac:dyDescent="0.25">
      <c r="A6" s="10">
        <v>1</v>
      </c>
      <c r="B6" s="7" t="s">
        <v>74</v>
      </c>
      <c r="C6" s="7" t="s">
        <v>219</v>
      </c>
      <c r="D6" s="7" t="s">
        <v>222</v>
      </c>
      <c r="E6" s="7" t="s">
        <v>226</v>
      </c>
      <c r="F6" s="7" t="s">
        <v>230</v>
      </c>
      <c r="G6" s="7" t="s">
        <v>234</v>
      </c>
      <c r="H6" s="14">
        <v>0.2</v>
      </c>
      <c r="I6" s="13" t="s">
        <v>73</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48" customHeight="1" x14ac:dyDescent="0.25">
      <c r="A7" s="10">
        <v>2</v>
      </c>
      <c r="B7" s="7" t="s">
        <v>75</v>
      </c>
      <c r="C7" s="7" t="s">
        <v>220</v>
      </c>
      <c r="D7" s="7" t="s">
        <v>223</v>
      </c>
      <c r="E7" s="7" t="s">
        <v>227</v>
      </c>
      <c r="F7" s="7" t="s">
        <v>231</v>
      </c>
      <c r="G7" s="7" t="s">
        <v>235</v>
      </c>
      <c r="H7" s="14">
        <v>0.1</v>
      </c>
      <c r="I7" s="13" t="s">
        <v>73</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48" customHeight="1" x14ac:dyDescent="0.25">
      <c r="A8" s="10">
        <v>3</v>
      </c>
      <c r="B8" s="7" t="s">
        <v>76</v>
      </c>
      <c r="C8" s="7" t="s">
        <v>221</v>
      </c>
      <c r="D8" s="7" t="s">
        <v>224</v>
      </c>
      <c r="E8" s="7" t="s">
        <v>228</v>
      </c>
      <c r="F8" s="7" t="s">
        <v>232</v>
      </c>
      <c r="G8" s="7" t="s">
        <v>236</v>
      </c>
      <c r="H8" s="14">
        <v>0.05</v>
      </c>
      <c r="I8" s="13" t="s">
        <v>73</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25">
      <c r="A11" s="8" t="s">
        <v>77</v>
      </c>
    </row>
    <row r="12" spans="1:13" ht="15" customHeight="1" x14ac:dyDescent="0.25">
      <c r="A12" s="18" t="s">
        <v>78</v>
      </c>
      <c r="B12" s="19">
        <v>254</v>
      </c>
      <c r="C12" s="20" t="s">
        <v>79</v>
      </c>
    </row>
    <row r="13" spans="1:13" ht="15" customHeight="1" x14ac:dyDescent="0.25">
      <c r="A13" s="18" t="s">
        <v>80</v>
      </c>
      <c r="B13" s="19">
        <v>200</v>
      </c>
      <c r="C13" s="20" t="s">
        <v>81</v>
      </c>
    </row>
    <row r="14" spans="1:13" ht="15" customHeight="1" x14ac:dyDescent="0.25">
      <c r="A14" s="18" t="s">
        <v>82</v>
      </c>
      <c r="B14" s="21">
        <v>1.5</v>
      </c>
      <c r="C14" s="20" t="s">
        <v>83</v>
      </c>
    </row>
    <row r="15" spans="1:13" ht="15" customHeight="1" x14ac:dyDescent="0.25">
      <c r="A15" s="18" t="s">
        <v>84</v>
      </c>
      <c r="B15" s="19">
        <v>50000</v>
      </c>
      <c r="C15" s="20" t="s">
        <v>85</v>
      </c>
    </row>
    <row r="16" spans="1:13" ht="15" customHeight="1" x14ac:dyDescent="0.25">
      <c r="A16" s="18" t="s">
        <v>86</v>
      </c>
      <c r="B16" s="19">
        <v>3970000</v>
      </c>
      <c r="C16" s="20" t="s">
        <v>87</v>
      </c>
    </row>
    <row r="17" spans="1:3" ht="15" customHeight="1" x14ac:dyDescent="0.25">
      <c r="A17" s="18" t="s">
        <v>88</v>
      </c>
      <c r="B17" s="19">
        <v>1760</v>
      </c>
      <c r="C17" s="20" t="s">
        <v>89</v>
      </c>
    </row>
    <row r="18" spans="1:3" ht="15" customHeight="1" x14ac:dyDescent="0.25">
      <c r="A18" s="18" t="s">
        <v>90</v>
      </c>
      <c r="B18" s="13" t="s">
        <v>91</v>
      </c>
      <c r="C18" s="20" t="s">
        <v>92</v>
      </c>
    </row>
    <row r="19" spans="1:3" ht="15" customHeight="1" x14ac:dyDescent="0.25">
      <c r="A19" s="18" t="s">
        <v>93</v>
      </c>
      <c r="B19" s="13" t="s">
        <v>94</v>
      </c>
      <c r="C19" s="20" t="s">
        <v>95</v>
      </c>
    </row>
    <row r="20" spans="1:3" ht="15" customHeight="1" x14ac:dyDescent="0.25">
      <c r="A20" s="18" t="s">
        <v>96</v>
      </c>
      <c r="B20" s="22">
        <v>7</v>
      </c>
      <c r="C20" s="20" t="s">
        <v>97</v>
      </c>
    </row>
    <row r="22" spans="1:3" ht="15" customHeight="1" x14ac:dyDescent="0.25">
      <c r="A22" s="20" t="s">
        <v>98</v>
      </c>
    </row>
    <row r="23" spans="1:3" ht="15" customHeight="1" x14ac:dyDescent="0.25">
      <c r="A23" s="20"/>
    </row>
  </sheetData>
  <sheetProtection sheet="1" formatColumns="0" formatRows="0"/>
  <phoneticPr fontId="8" type="noConversion"/>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topLeftCell="A6" zoomScaleNormal="100" workbookViewId="0">
      <selection activeCell="G9" sqref="G9"/>
    </sheetView>
  </sheetViews>
  <sheetFormatPr defaultColWidth="8.7109375" defaultRowHeight="15" x14ac:dyDescent="0.25"/>
  <cols>
    <col min="1" max="1" width="30" customWidth="1"/>
    <col min="2" max="4" width="42" customWidth="1"/>
  </cols>
  <sheetData>
    <row r="1" spans="1:4" ht="17.25" customHeight="1" x14ac:dyDescent="0.25">
      <c r="A1" s="1" t="s">
        <v>99</v>
      </c>
    </row>
    <row r="2" spans="1:4" ht="15" customHeight="1" x14ac:dyDescent="0.25">
      <c r="A2" s="2" t="s">
        <v>100</v>
      </c>
    </row>
    <row r="4" spans="1:4" ht="15" customHeight="1" x14ac:dyDescent="0.25">
      <c r="A4" s="9" t="s">
        <v>101</v>
      </c>
      <c r="B4" s="9" t="s">
        <v>102</v>
      </c>
      <c r="C4" s="9" t="s">
        <v>103</v>
      </c>
      <c r="D4" s="9" t="s">
        <v>104</v>
      </c>
    </row>
    <row r="5" spans="1:4" ht="48" customHeight="1" x14ac:dyDescent="0.25">
      <c r="A5" s="23" t="s">
        <v>105</v>
      </c>
      <c r="B5" s="7" t="s">
        <v>237</v>
      </c>
      <c r="C5" s="7" t="s">
        <v>238</v>
      </c>
      <c r="D5" s="7" t="s">
        <v>239</v>
      </c>
    </row>
    <row r="6" spans="1:4" ht="48" customHeight="1" x14ac:dyDescent="0.25">
      <c r="A6" s="23" t="s">
        <v>106</v>
      </c>
      <c r="B6" s="7" t="s">
        <v>240</v>
      </c>
      <c r="C6" s="7" t="s">
        <v>247</v>
      </c>
      <c r="D6" s="7" t="s">
        <v>254</v>
      </c>
    </row>
    <row r="7" spans="1:4" ht="48" customHeight="1" x14ac:dyDescent="0.25">
      <c r="A7" s="23" t="s">
        <v>44</v>
      </c>
      <c r="B7" s="7" t="s">
        <v>241</v>
      </c>
      <c r="C7" s="7" t="s">
        <v>248</v>
      </c>
      <c r="D7" s="7" t="s">
        <v>255</v>
      </c>
    </row>
    <row r="8" spans="1:4" ht="48" customHeight="1" x14ac:dyDescent="0.25">
      <c r="A8" s="23" t="s">
        <v>107</v>
      </c>
      <c r="B8" s="7" t="s">
        <v>242</v>
      </c>
      <c r="C8" s="7" t="s">
        <v>249</v>
      </c>
      <c r="D8" s="7" t="s">
        <v>256</v>
      </c>
    </row>
    <row r="9" spans="1:4" ht="48" customHeight="1" x14ac:dyDescent="0.25">
      <c r="A9" s="23" t="s">
        <v>108</v>
      </c>
      <c r="B9" s="7" t="s">
        <v>243</v>
      </c>
      <c r="C9" s="7" t="s">
        <v>250</v>
      </c>
      <c r="D9" s="7" t="s">
        <v>257</v>
      </c>
    </row>
    <row r="10" spans="1:4" ht="48" customHeight="1" x14ac:dyDescent="0.25">
      <c r="A10" s="23" t="s">
        <v>109</v>
      </c>
      <c r="B10" s="7" t="s">
        <v>244</v>
      </c>
      <c r="C10" s="7" t="s">
        <v>251</v>
      </c>
      <c r="D10" s="7" t="s">
        <v>258</v>
      </c>
    </row>
    <row r="11" spans="1:4" ht="48" customHeight="1" x14ac:dyDescent="0.25">
      <c r="A11" s="23" t="s">
        <v>110</v>
      </c>
      <c r="B11" s="7" t="s">
        <v>245</v>
      </c>
      <c r="C11" s="7" t="s">
        <v>252</v>
      </c>
      <c r="D11" s="7" t="s">
        <v>259</v>
      </c>
    </row>
    <row r="12" spans="1:4" ht="48" customHeight="1" x14ac:dyDescent="0.25">
      <c r="A12" s="23" t="s">
        <v>111</v>
      </c>
      <c r="B12" s="7" t="s">
        <v>246</v>
      </c>
      <c r="C12" s="7" t="s">
        <v>253</v>
      </c>
      <c r="D12" s="7" t="s">
        <v>260</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election activeCell="D20" sqref="D20"/>
    </sheetView>
  </sheetViews>
  <sheetFormatPr defaultColWidth="8.7109375" defaultRowHeight="15" x14ac:dyDescent="0.25"/>
  <cols>
    <col min="1" max="1" width="34" customWidth="1"/>
    <col min="2" max="3" width="40" customWidth="1"/>
    <col min="4" max="4" width="28" customWidth="1"/>
  </cols>
  <sheetData>
    <row r="1" spans="1:4" ht="17.25" customHeight="1" x14ac:dyDescent="0.25">
      <c r="A1" s="1" t="s">
        <v>112</v>
      </c>
    </row>
    <row r="2" spans="1:4" ht="15" customHeight="1" x14ac:dyDescent="0.25">
      <c r="A2" s="2" t="s">
        <v>113</v>
      </c>
    </row>
    <row r="4" spans="1:4" ht="15" customHeight="1" x14ac:dyDescent="0.25">
      <c r="A4" s="9" t="s">
        <v>114</v>
      </c>
      <c r="B4" s="9" t="s">
        <v>115</v>
      </c>
      <c r="C4" s="9" t="s">
        <v>116</v>
      </c>
      <c r="D4" s="9" t="s">
        <v>117</v>
      </c>
    </row>
    <row r="5" spans="1:4" ht="15" customHeight="1" x14ac:dyDescent="0.25">
      <c r="A5" s="7" t="s">
        <v>118</v>
      </c>
      <c r="B5" s="7" t="s">
        <v>261</v>
      </c>
      <c r="C5" s="7" t="s">
        <v>262</v>
      </c>
      <c r="D5" s="7" t="s">
        <v>263</v>
      </c>
    </row>
    <row r="6" spans="1:4" ht="15" customHeight="1" x14ac:dyDescent="0.25">
      <c r="A6" s="7" t="s">
        <v>119</v>
      </c>
      <c r="B6" s="7" t="s">
        <v>264</v>
      </c>
      <c r="C6" s="7" t="s">
        <v>269</v>
      </c>
      <c r="D6" s="7" t="s">
        <v>274</v>
      </c>
    </row>
    <row r="7" spans="1:4" ht="15" customHeight="1" x14ac:dyDescent="0.25">
      <c r="A7" s="7" t="s">
        <v>120</v>
      </c>
      <c r="B7" s="7" t="s">
        <v>265</v>
      </c>
      <c r="C7" s="7" t="s">
        <v>270</v>
      </c>
      <c r="D7" s="7" t="s">
        <v>275</v>
      </c>
    </row>
    <row r="8" spans="1:4" ht="15" customHeight="1" x14ac:dyDescent="0.25">
      <c r="A8" s="7" t="s">
        <v>121</v>
      </c>
      <c r="B8" s="7" t="s">
        <v>266</v>
      </c>
      <c r="C8" s="7" t="s">
        <v>271</v>
      </c>
      <c r="D8" s="7" t="s">
        <v>276</v>
      </c>
    </row>
    <row r="9" spans="1:4" ht="15" customHeight="1" x14ac:dyDescent="0.25">
      <c r="A9" s="7" t="s">
        <v>122</v>
      </c>
      <c r="B9" s="7" t="s">
        <v>267</v>
      </c>
      <c r="C9" s="7" t="s">
        <v>272</v>
      </c>
      <c r="D9" s="7" t="s">
        <v>277</v>
      </c>
    </row>
    <row r="10" spans="1:4" ht="15" customHeight="1" x14ac:dyDescent="0.25">
      <c r="A10" s="7" t="s">
        <v>123</v>
      </c>
      <c r="B10" s="7" t="s">
        <v>268</v>
      </c>
      <c r="C10" s="7" t="s">
        <v>273</v>
      </c>
      <c r="D10" s="7" t="s">
        <v>278</v>
      </c>
    </row>
    <row r="12" spans="1:4" ht="15" customHeight="1" x14ac:dyDescent="0.25">
      <c r="A12" s="20" t="s">
        <v>124</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tabSelected="1" zoomScaleNormal="100" workbookViewId="0">
      <selection activeCell="B8" sqref="B8"/>
    </sheetView>
  </sheetViews>
  <sheetFormatPr defaultColWidth="8.7109375" defaultRowHeight="15" x14ac:dyDescent="0.25"/>
  <cols>
    <col min="1" max="1" width="32" customWidth="1"/>
    <col min="2" max="2" width="90" customWidth="1"/>
    <col min="3" max="3" width="8" customWidth="1"/>
    <col min="4" max="4" width="12" customWidth="1"/>
  </cols>
  <sheetData>
    <row r="1" spans="1:4" ht="17.25" customHeight="1" x14ac:dyDescent="0.25">
      <c r="A1" s="1" t="s">
        <v>125</v>
      </c>
    </row>
    <row r="2" spans="1:4" ht="15" customHeight="1" x14ac:dyDescent="0.25">
      <c r="A2" s="2" t="s">
        <v>126</v>
      </c>
    </row>
    <row r="3" spans="1:4" ht="15" customHeight="1" x14ac:dyDescent="0.25">
      <c r="C3" s="24" t="s">
        <v>127</v>
      </c>
      <c r="D3" s="24" t="s">
        <v>128</v>
      </c>
    </row>
    <row r="4" spans="1:4" ht="33.75" customHeight="1" x14ac:dyDescent="0.25">
      <c r="A4" s="24" t="s">
        <v>129</v>
      </c>
      <c r="B4" s="7" t="s">
        <v>279</v>
      </c>
      <c r="C4" s="25">
        <f>IF(TRIM(B4)="",0,LEN(TRIM(B4))-LEN(SUBSTITUTE(TRIM(B4)," ",""))+1)</f>
        <v>44</v>
      </c>
      <c r="D4" s="17" t="str">
        <f>IF(C4=0,"Trống",IF(C4&gt;60,"Quá 60 chữ","Đạt"))</f>
        <v>Đạt</v>
      </c>
    </row>
    <row r="5" spans="1:4" ht="33.75" customHeight="1" x14ac:dyDescent="0.25">
      <c r="A5" s="24" t="s">
        <v>130</v>
      </c>
      <c r="B5" s="7" t="s">
        <v>280</v>
      </c>
      <c r="C5" s="25">
        <f>IF(TRIM(B5)="",0,LEN(TRIM(B5))-LEN(SUBSTITUTE(TRIM(B5)," ",""))+1)</f>
        <v>48</v>
      </c>
      <c r="D5" s="17" t="str">
        <f>IF(C5=0,"Trống",IF(C5&gt;60,"Quá 60 chữ","Đạt"))</f>
        <v>Đạt</v>
      </c>
    </row>
    <row r="6" spans="1:4" ht="33.75" customHeight="1" x14ac:dyDescent="0.25">
      <c r="A6" s="24" t="s">
        <v>131</v>
      </c>
      <c r="B6" s="7" t="s">
        <v>281</v>
      </c>
      <c r="C6" s="25">
        <f>IF(TRIM(B6)="",0,LEN(TRIM(B6))-LEN(SUBSTITUTE(TRIM(B6)," ",""))+1)</f>
        <v>45</v>
      </c>
      <c r="D6" s="17" t="str">
        <f>IF(C6=0,"Trống",IF(C6&gt;60,"Quá 60 chữ","Đạt"))</f>
        <v>Đạt</v>
      </c>
    </row>
    <row r="7" spans="1:4" ht="33.75" customHeight="1" x14ac:dyDescent="0.25">
      <c r="A7" s="24" t="s">
        <v>132</v>
      </c>
      <c r="B7" s="7" t="s">
        <v>282</v>
      </c>
      <c r="C7" s="25">
        <f>IF(TRIM(B7)="",0,LEN(TRIM(B7))-LEN(SUBSTITUTE(TRIM(B7)," ",""))+1)</f>
        <v>51</v>
      </c>
      <c r="D7" s="17" t="str">
        <f>IF(C7=0,"Trống",IF(C7&gt;60,"Quá 60 chữ","Đạt"))</f>
        <v>Đạt</v>
      </c>
    </row>
    <row r="8" spans="1:4" ht="33.75" customHeight="1" x14ac:dyDescent="0.25">
      <c r="A8" s="24" t="s">
        <v>133</v>
      </c>
      <c r="B8" s="7" t="s">
        <v>283</v>
      </c>
      <c r="C8" s="25">
        <f>IF(TRIM(B8)="",0,LEN(TRIM(B8))-LEN(SUBSTITUTE(TRIM(B8)," ",""))+1)</f>
        <v>43</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7109375" defaultRowHeight="15" x14ac:dyDescent="0.25"/>
  <cols>
    <col min="1" max="1" width="66" customWidth="1"/>
    <col min="2" max="3" width="14" customWidth="1"/>
  </cols>
  <sheetData>
    <row r="1" spans="1:3" ht="17.25" customHeight="1" x14ac:dyDescent="0.25">
      <c r="A1" s="1" t="s">
        <v>134</v>
      </c>
    </row>
    <row r="2" spans="1:3" ht="15" customHeight="1" x14ac:dyDescent="0.25">
      <c r="A2" s="2" t="s">
        <v>135</v>
      </c>
    </row>
    <row r="4" spans="1:3" ht="15" customHeight="1" x14ac:dyDescent="0.25">
      <c r="A4" s="9" t="s">
        <v>136</v>
      </c>
      <c r="B4" s="9" t="s">
        <v>137</v>
      </c>
      <c r="C4" s="9" t="s">
        <v>128</v>
      </c>
    </row>
    <row r="5" spans="1:3" ht="15" customHeight="1" x14ac:dyDescent="0.25">
      <c r="A5" s="10" t="s">
        <v>138</v>
      </c>
      <c r="B5" s="11">
        <f>COUNT('1_Danh sách việc'!M5:M14)</f>
        <v>6</v>
      </c>
      <c r="C5" s="11" t="str">
        <f>IF(B5&gt;=5,"Đạt","Xem lại")</f>
        <v>Đạt</v>
      </c>
    </row>
    <row r="6" spans="1:3" ht="15" customHeight="1" x14ac:dyDescent="0.25">
      <c r="A6" s="10" t="s">
        <v>139</v>
      </c>
      <c r="B6" s="11">
        <f>COUNTIFS('1_Danh sách việc'!O5:O14,"Thiếu",'1_Danh sách việc'!P5:P14,"&lt;&gt;Không làm")</f>
        <v>0</v>
      </c>
      <c r="C6" s="11" t="str">
        <f>IF(B5=0,"",IF(B6=0,"Đạt","Xem lại"))</f>
        <v>Đạt</v>
      </c>
    </row>
    <row r="7" spans="1:3" ht="15" customHeight="1" x14ac:dyDescent="0.25">
      <c r="A7" s="10" t="s">
        <v>140</v>
      </c>
      <c r="B7" s="11">
        <f>COUNTIF('2_Mức tự động'!M6:M8,"Có")</f>
        <v>3</v>
      </c>
      <c r="C7" s="11" t="str">
        <f>IF(B7&gt;=2,"Đạt","Xem lại")</f>
        <v>Đạt</v>
      </c>
    </row>
    <row r="8" spans="1:3" ht="15" customHeight="1" x14ac:dyDescent="0.25">
      <c r="A8" s="10" t="s">
        <v>141</v>
      </c>
      <c r="B8" s="11">
        <f>COUNTA('3_Bảng lộ trình'!B5:B12)</f>
        <v>8</v>
      </c>
      <c r="C8" s="11" t="str">
        <f>IF(B8=8,"Đạt","Xem lại")</f>
        <v>Đạt</v>
      </c>
    </row>
    <row r="9" spans="1:3" ht="15" customHeight="1" x14ac:dyDescent="0.25">
      <c r="A9" s="10" t="s">
        <v>142</v>
      </c>
      <c r="B9" s="11" t="str">
        <f>IF(AND(LEN('3_Bảng lộ trình'!B12)&gt;10,SUMPRODUCT(--ISNUMBER(SEARCH({"0","1","2","3","4","5","6","7","8","9"},'3_Bảng lộ trình'!B12)))&gt;0),"Có","Chưa")</f>
        <v>Có</v>
      </c>
      <c r="C9" s="11" t="str">
        <f>IF(B9="Có","Đạt","Xem lại")</f>
        <v>Đạt</v>
      </c>
    </row>
    <row r="10" spans="1:3" ht="15" customHeight="1" x14ac:dyDescent="0.25">
      <c r="A10" s="10" t="s">
        <v>143</v>
      </c>
      <c r="B10" s="11" t="str">
        <f>IF(AND(LEN('3_Bảng lộ trình'!B11)&gt;10,SUMPRODUCT(--ISNUMBER(SEARCH({"0","1","2","3","4","5","6","7","8","9"},'3_Bảng lộ trình'!B11)))&gt;0),"Có","Chưa")</f>
        <v>Có</v>
      </c>
      <c r="C10" s="11" t="str">
        <f>IF(B10="Có","Đạt","Xem lại")</f>
        <v>Đạt</v>
      </c>
    </row>
    <row r="11" spans="1:3" ht="15" customHeight="1" x14ac:dyDescent="0.25">
      <c r="A11" s="10" t="s">
        <v>144</v>
      </c>
      <c r="B11" s="11">
        <f>COUNTIF('5_Slide lãnh đạo'!D4:D8,"Đạt")</f>
        <v>5</v>
      </c>
      <c r="C11" s="11" t="str">
        <f>IF(B11=5,"Đạt","Xem lại")</f>
        <v>Đạt</v>
      </c>
    </row>
    <row r="12" spans="1:3" ht="15" customHeight="1" x14ac:dyDescent="0.25">
      <c r="A12" s="10" t="s">
        <v>145</v>
      </c>
      <c r="B12" s="11">
        <f>COUNTIF('2_Mức tự động'!L5:L8,"Đạt")</f>
        <v>3</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7109375" defaultRowHeight="15" x14ac:dyDescent="0.25"/>
  <cols>
    <col min="1" max="1" width="32" customWidth="1"/>
    <col min="2" max="2" width="30" customWidth="1"/>
    <col min="3" max="3" width="80" customWidth="1"/>
    <col min="4" max="4" width="40" customWidth="1"/>
  </cols>
  <sheetData>
    <row r="1" spans="1:4" ht="17.25" customHeight="1" x14ac:dyDescent="0.25">
      <c r="A1" s="1" t="s">
        <v>146</v>
      </c>
    </row>
    <row r="2" spans="1:4" ht="15" customHeight="1" x14ac:dyDescent="0.25">
      <c r="A2" s="2"/>
    </row>
    <row r="4" spans="1:4" ht="15" customHeight="1" x14ac:dyDescent="0.25">
      <c r="A4" s="9" t="s">
        <v>147</v>
      </c>
      <c r="B4" s="9" t="s">
        <v>148</v>
      </c>
      <c r="C4" s="9" t="s">
        <v>149</v>
      </c>
      <c r="D4" s="9" t="s">
        <v>150</v>
      </c>
    </row>
    <row r="5" spans="1:4" ht="15" customHeight="1" x14ac:dyDescent="0.25">
      <c r="A5" s="10" t="s">
        <v>151</v>
      </c>
      <c r="B5">
        <v>20</v>
      </c>
      <c r="C5" s="26" t="s">
        <v>152</v>
      </c>
      <c r="D5" s="27"/>
    </row>
    <row r="6" spans="1:4" ht="15" customHeight="1" x14ac:dyDescent="0.25">
      <c r="A6" s="10" t="s">
        <v>153</v>
      </c>
      <c r="B6">
        <v>20</v>
      </c>
      <c r="C6" s="26" t="s">
        <v>154</v>
      </c>
      <c r="D6" s="27"/>
    </row>
    <row r="7" spans="1:4" ht="15" customHeight="1" x14ac:dyDescent="0.25">
      <c r="A7" s="10" t="s">
        <v>155</v>
      </c>
      <c r="B7">
        <v>25</v>
      </c>
      <c r="C7" s="26" t="s">
        <v>156</v>
      </c>
      <c r="D7" s="27"/>
    </row>
    <row r="8" spans="1:4" ht="15" customHeight="1" x14ac:dyDescent="0.25">
      <c r="A8" s="10" t="s">
        <v>157</v>
      </c>
      <c r="B8">
        <v>15</v>
      </c>
      <c r="C8" s="26" t="s">
        <v>158</v>
      </c>
      <c r="D8" s="27"/>
    </row>
    <row r="9" spans="1:4" ht="15" customHeight="1" x14ac:dyDescent="0.25">
      <c r="A9" s="10" t="s">
        <v>159</v>
      </c>
      <c r="B9">
        <v>20</v>
      </c>
      <c r="C9" s="26" t="s">
        <v>160</v>
      </c>
      <c r="D9" s="27"/>
    </row>
    <row r="10" spans="1:4" ht="15" customHeight="1" x14ac:dyDescent="0.25">
      <c r="A10" s="8" t="s">
        <v>161</v>
      </c>
      <c r="B10">
        <f>SUM(B5:B9)</f>
        <v>100</v>
      </c>
      <c r="D10" s="11">
        <f>SUM(D5:D9)</f>
        <v>0</v>
      </c>
    </row>
    <row r="12" spans="1:4" ht="15" customHeight="1" x14ac:dyDescent="0.25">
      <c r="A12" s="8"/>
      <c r="D12" s="27"/>
    </row>
    <row r="15" spans="1:4" ht="15" customHeight="1" x14ac:dyDescent="0.25">
      <c r="A15" s="28" t="s">
        <v>162</v>
      </c>
    </row>
    <row r="16" spans="1:4" ht="15" customHeight="1" x14ac:dyDescent="0.25">
      <c r="A16" s="9" t="s">
        <v>147</v>
      </c>
      <c r="B16" s="9" t="s">
        <v>163</v>
      </c>
      <c r="C16" s="9" t="s">
        <v>164</v>
      </c>
      <c r="D16" s="9" t="s">
        <v>165</v>
      </c>
    </row>
    <row r="17" spans="1:4" ht="45.75" customHeight="1" x14ac:dyDescent="0.25">
      <c r="A17" s="29" t="s">
        <v>166</v>
      </c>
      <c r="B17" s="30" t="s">
        <v>167</v>
      </c>
      <c r="C17" s="30" t="s">
        <v>168</v>
      </c>
      <c r="D17" s="30" t="s">
        <v>169</v>
      </c>
    </row>
    <row r="18" spans="1:4" ht="45.75" customHeight="1" x14ac:dyDescent="0.25">
      <c r="A18" s="29" t="s">
        <v>170</v>
      </c>
      <c r="B18" s="30" t="s">
        <v>171</v>
      </c>
      <c r="C18" s="30" t="s">
        <v>172</v>
      </c>
      <c r="D18" s="30" t="s">
        <v>173</v>
      </c>
    </row>
    <row r="19" spans="1:4" ht="45.75" customHeight="1" x14ac:dyDescent="0.25">
      <c r="A19" s="29" t="s">
        <v>174</v>
      </c>
      <c r="B19" s="30" t="s">
        <v>175</v>
      </c>
      <c r="C19" s="30" t="s">
        <v>176</v>
      </c>
      <c r="D19" s="30" t="s">
        <v>177</v>
      </c>
    </row>
    <row r="20" spans="1:4" ht="45.75" customHeight="1" x14ac:dyDescent="0.25">
      <c r="A20" s="29" t="s">
        <v>178</v>
      </c>
      <c r="B20" s="30" t="s">
        <v>179</v>
      </c>
      <c r="C20" s="30" t="s">
        <v>180</v>
      </c>
      <c r="D20" s="30" t="s">
        <v>181</v>
      </c>
    </row>
    <row r="22" spans="1:4" ht="15" customHeight="1" x14ac:dyDescent="0.25">
      <c r="A22" s="20" t="s">
        <v>182</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Trang tính</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Nguyễn</cp:lastModifiedBy>
  <dcterms:modified xsi:type="dcterms:W3CDTF">2026-10-16T09:56:43Z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2026-10-14T15:39:14Z</dcterms:modified>
  <cp:revision>0</cp:revision>
  <dc:subject/>
  <dc:title/>
</cp:coreProperties>
</file>